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7A7A39D1-5D4D-48A6-B22A-885F9A46EE0B}" xr6:coauthVersionLast="47" xr6:coauthVersionMax="47" xr10:uidLastSave="{00000000-0000-0000-0000-000000000000}"/>
  <bookViews>
    <workbookView xWindow="28680" yWindow="-120" windowWidth="29040" windowHeight="15720" tabRatio="702" firstSheet="26" activeTab="28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VE et VHR" sheetId="21" r:id="rId17"/>
    <sheet name="permanent_spa_heater_type" sheetId="22" r:id="rId18"/>
    <sheet name="Water Heater in Unit" sheetId="23" r:id="rId19"/>
    <sheet name="Water Heater Location" sheetId="24" r:id="rId20"/>
    <sheet name="tempo -  Building Number Units " sheetId="15" r:id="rId21"/>
    <sheet name="Usage Level" sheetId="25" r:id="rId22"/>
    <sheet name="Clothes Dryer Usage Level" sheetId="26" r:id="rId23"/>
    <sheet name="Clothes Washer Usage Level" sheetId="27" r:id="rId24"/>
    <sheet name="Cooking Range Usage Level" sheetId="28" r:id="rId25"/>
    <sheet name="Refrigerator Usage Level" sheetId="29" r:id="rId26"/>
    <sheet name="Refrigerator Efficiency" sheetId="32" r:id="rId27"/>
    <sheet name="Refrigerator Extra Efficiency" sheetId="33" r:id="rId28"/>
    <sheet name="Freezer Efficiency" sheetId="34" r:id="rId29"/>
    <sheet name="Dishwasher Energy" sheetId="30" r:id="rId30"/>
    <sheet name="Diswasher Usage Level" sheetId="31" r:id="rId31"/>
    <sheet name="Lighting Usage Level" sheetId="35" r:id="rId32"/>
    <sheet name="Door Rvalue" sheetId="36" r:id="rId33"/>
    <sheet name="Door Area" sheetId="37" r:id="rId34"/>
  </sheets>
  <calcPr calcId="191029"/>
  <pivotCaches>
    <pivotCache cacheId="0" r:id="rId35"/>
    <pivotCache cacheId="1" r:id="rId3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<sst xmlns="http://schemas.openxmlformats.org/spreadsheetml/2006/main" count="107426" uniqueCount="672">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</sst>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activeCell="J1" sqref="J1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topLeftCell="A25" workbookViewId="0">
      <selection activeCell="M16" sqref="M1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W14" zoomScale="115" zoomScaleNormal="115" workbookViewId="0">
      <selection activeCell="AK34" sqref="AK34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660</v>
      </c>
      <c r="AE1" s="12" t="s">
        <v>661</v>
      </c>
      <c r="AF1" s="12" t="s">
        <v>662</v>
      </c>
      <c r="AG1" s="12" t="s">
        <v>663</v>
      </c>
      <c r="AH1" s="12" t="s">
        <v>664</v>
      </c>
      <c r="AI1" s="12" t="s">
        <v>665</v>
      </c>
      <c r="AJ1" s="12" t="s">
        <v>666</v>
      </c>
      <c r="AK1" s="12" t="s">
        <v>667</v>
      </c>
      <c r="AL1" s="12" t="s">
        <v>668</v>
      </c>
      <c r="AM1" s="12" t="s">
        <v>669</v>
      </c>
      <c r="AN1" s="12" t="s">
        <v>670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652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656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658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659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652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653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N65" workbookViewId="0">
      <selection activeCell="Y80" sqref="Y80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>
      <selection activeCell="A32" sqref="A32:B32"/>
    </sheetView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F1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135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A2"/>
  <sheetViews>
    <sheetView tabSelected="1" workbookViewId="0">
      <selection activeCell="C12" sqref="C12"/>
    </sheetView>
  </sheetViews>
  <sheetFormatPr baseColWidth="10" defaultRowHeight="15" x14ac:dyDescent="0.25"/>
  <cols>
    <col min="1" max="1" width="29.28515625" bestFit="1" customWidth="1"/>
  </cols>
  <sheetData>
    <row r="1" spans="1:1" x14ac:dyDescent="0.25">
      <c r="A1" t="s">
        <v>648</v>
      </c>
    </row>
    <row r="2" spans="1:1" x14ac:dyDescent="0.25">
      <c r="A2" t="s">
        <v>649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650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651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34</vt:i4>
      </vt:variant>
    </vt:vector>
  </HeadingPairs>
  <TitlesOfParts>
    <vt:vector size="34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2025-10-15T12:44:35Z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